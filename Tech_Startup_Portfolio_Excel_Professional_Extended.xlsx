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0420" activeTab="3"/>
  </bookViews>
  <sheets>
    <sheet name="Raw_Data" sheetId="1" r:id="rId1"/>
    <sheet name="Employee " sheetId="4" r:id="rId2"/>
    <sheet name="Calculations" sheetId="2" r:id="rId3"/>
    <sheet name="Summary_Dashboar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1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E4" i="2"/>
  <c r="D4" i="2"/>
  <c r="C4" i="2"/>
  <c r="E3" i="2"/>
  <c r="D3" i="2"/>
  <c r="C3" i="2"/>
  <c r="E2" i="2"/>
  <c r="D2" i="2"/>
  <c r="C2" i="2"/>
  <c r="F11" i="1"/>
  <c r="F10" i="1"/>
  <c r="F9" i="1"/>
  <c r="F8" i="1"/>
  <c r="F7" i="1"/>
  <c r="F6" i="1"/>
  <c r="F5" i="1"/>
  <c r="F4" i="1"/>
  <c r="F3" i="1"/>
  <c r="F2" i="1"/>
  <c r="B3" i="2" l="1"/>
  <c r="B4" i="3" s="1"/>
  <c r="B4" i="2"/>
  <c r="B5" i="3" s="1"/>
  <c r="B2" i="2"/>
  <c r="B3" i="3" s="1"/>
  <c r="B6" i="2" l="1"/>
</calcChain>
</file>

<file path=xl/sharedStrings.xml><?xml version="1.0" encoding="utf-8"?>
<sst xmlns="http://schemas.openxmlformats.org/spreadsheetml/2006/main" count="211" uniqueCount="94">
  <si>
    <t>Category</t>
  </si>
  <si>
    <t>Item / Service Name</t>
  </si>
  <si>
    <t>Department</t>
  </si>
  <si>
    <t>Monthly Cost (USD)</t>
  </si>
  <si>
    <t>Quantity</t>
  </si>
  <si>
    <t>Total Cost</t>
  </si>
  <si>
    <t>Status</t>
  </si>
  <si>
    <t>Website Display (Yes/No)</t>
  </si>
  <si>
    <t>Project</t>
  </si>
  <si>
    <t>Company Website</t>
  </si>
  <si>
    <t>IT</t>
  </si>
  <si>
    <t>Active</t>
  </si>
  <si>
    <t>Yes</t>
  </si>
  <si>
    <t>Mobile Application</t>
  </si>
  <si>
    <t>CRM System</t>
  </si>
  <si>
    <t>No</t>
  </si>
  <si>
    <t>Salary</t>
  </si>
  <si>
    <t>CEO</t>
  </si>
  <si>
    <t>Senior Developer</t>
  </si>
  <si>
    <t>Marketing Executive</t>
  </si>
  <si>
    <t>Marketing</t>
  </si>
  <si>
    <t>Inactive</t>
  </si>
  <si>
    <t>Service</t>
  </si>
  <si>
    <t>Cloud Hosting</t>
  </si>
  <si>
    <t>Email Services</t>
  </si>
  <si>
    <t>Marketing Tools</t>
  </si>
  <si>
    <t>Total Monthly Cost</t>
  </si>
  <si>
    <t>Average Item Cost</t>
  </si>
  <si>
    <t>Active Items</t>
  </si>
  <si>
    <t>Inactive Items</t>
  </si>
  <si>
    <t>Grand Total</t>
  </si>
  <si>
    <t>Tech Startup – Financial Overview</t>
  </si>
  <si>
    <t>Categery</t>
  </si>
  <si>
    <t>Empolyee ID</t>
  </si>
  <si>
    <t>Empolyee Name</t>
  </si>
  <si>
    <t>Role</t>
  </si>
  <si>
    <t>Dept</t>
  </si>
  <si>
    <t>Monthly Salary</t>
  </si>
  <si>
    <t>Allowance</t>
  </si>
  <si>
    <t>Total Salary</t>
  </si>
  <si>
    <t>Empolyee ID 001</t>
  </si>
  <si>
    <t>Empolyee ID 002</t>
  </si>
  <si>
    <t>Empolyee ID 003</t>
  </si>
  <si>
    <t>Empolyee ID 004</t>
  </si>
  <si>
    <t>Empolyee ID 005</t>
  </si>
  <si>
    <t>Empolyee ID 006</t>
  </si>
  <si>
    <t>Empolyee ID 007</t>
  </si>
  <si>
    <t>Empolyee ID 008</t>
  </si>
  <si>
    <t>Empolyee ID 009</t>
  </si>
  <si>
    <t>Empolyee ID 010</t>
  </si>
  <si>
    <t>Empolyee ID 011</t>
  </si>
  <si>
    <t>Empolyee ID 012</t>
  </si>
  <si>
    <t>Empolyee ID 013</t>
  </si>
  <si>
    <t>Empolyee ID 014</t>
  </si>
  <si>
    <t>Empolyee ID 015</t>
  </si>
  <si>
    <t>Ali</t>
  </si>
  <si>
    <t>Ali Ahmad</t>
  </si>
  <si>
    <t xml:space="preserve">Hassan </t>
  </si>
  <si>
    <t>Ahmad</t>
  </si>
  <si>
    <t>Hira</t>
  </si>
  <si>
    <t xml:space="preserve">Luna </t>
  </si>
  <si>
    <t>Fiza</t>
  </si>
  <si>
    <t>Ayeza</t>
  </si>
  <si>
    <t>Shiza</t>
  </si>
  <si>
    <t>Iffa</t>
  </si>
  <si>
    <t>Hania</t>
  </si>
  <si>
    <t>Hasseb</t>
  </si>
  <si>
    <t>Mohid</t>
  </si>
  <si>
    <t>Rahim</t>
  </si>
  <si>
    <t>Asad</t>
  </si>
  <si>
    <t>Project Manager</t>
  </si>
  <si>
    <t>Junior Developer</t>
  </si>
  <si>
    <t>Backend Develop</t>
  </si>
  <si>
    <t>SEO Specialist</t>
  </si>
  <si>
    <t>HR Manager</t>
  </si>
  <si>
    <t>Tech Lead</t>
  </si>
  <si>
    <t>Frontend Develop</t>
  </si>
  <si>
    <t>QA</t>
  </si>
  <si>
    <t>UX/UI Designers</t>
  </si>
  <si>
    <t>Data Analysts</t>
  </si>
  <si>
    <t>Owner</t>
  </si>
  <si>
    <t>Manger</t>
  </si>
  <si>
    <t>Developer</t>
  </si>
  <si>
    <t>Specialist</t>
  </si>
  <si>
    <t>Lead</t>
  </si>
  <si>
    <t>Designers</t>
  </si>
  <si>
    <t>Analysts</t>
  </si>
  <si>
    <t>Develop</t>
  </si>
  <si>
    <t>Devolper</t>
  </si>
  <si>
    <t>HR manger</t>
  </si>
  <si>
    <t>Data Analayzie</t>
  </si>
  <si>
    <t>Tech leader</t>
  </si>
  <si>
    <t>Data</t>
  </si>
  <si>
    <t>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</si>
</sst>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0" fillId="0" borderId="0" xfId="0" applyAlignment="1">
      <alignment horizontal="center"/>
    </xf>
    <xf numFmtId="3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'Employee '!$F$2:$F$16</c:f>
              <c:numCache>
                <c:formatCode>#,##0</c:formatCode>
                <c:ptCount val="15"/>
                <c:pt idx="0">
                  <c:v>5000000</c:v>
                </c:pt>
                <c:pt idx="1">
                  <c:v>4500000</c:v>
                </c:pt>
                <c:pt idx="2">
                  <c:v>3400000</c:v>
                </c:pt>
                <c:pt idx="3">
                  <c:v>3400000</c:v>
                </c:pt>
                <c:pt idx="4">
                  <c:v>3000000</c:v>
                </c:pt>
                <c:pt idx="5">
                  <c:v>2500000</c:v>
                </c:pt>
                <c:pt idx="6">
                  <c:v>2500000</c:v>
                </c:pt>
                <c:pt idx="7">
                  <c:v>2000000</c:v>
                </c:pt>
                <c:pt idx="8">
                  <c:v>2000000</c:v>
                </c:pt>
                <c:pt idx="9">
                  <c:v>2000000</c:v>
                </c:pt>
                <c:pt idx="10">
                  <c:v>2000000</c:v>
                </c:pt>
                <c:pt idx="11">
                  <c:v>2000000</c:v>
                </c:pt>
                <c:pt idx="12">
                  <c:v>1500000</c:v>
                </c:pt>
                <c:pt idx="13">
                  <c:v>1500000</c:v>
                </c:pt>
                <c:pt idx="14">
                  <c:v>1000000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D58-403B-9EDA-51D79E88077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464064"/>
        <c:axId val="179499776"/>
      </c:barChart>
      <c:catAx>
        <c:axId val="17946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99776"/>
        <c:crosses val="autoZero"/>
        <c:auto val="1"/>
        <c:lblAlgn val="ctr"/>
        <c:lblOffset val="100"/>
        <c:noMultiLvlLbl val="0"/>
      </c:catAx>
      <c:valAx>
        <c:axId val="17949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75524934383205"/>
          <c:y val="0.13930555555555557"/>
          <c:w val="0.81439107611548556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'Employee '!$H$2:$H$16</c:f>
              <c:numCache>
                <c:formatCode>#,##0</c:formatCode>
                <c:ptCount val="15"/>
                <c:pt idx="0">
                  <c:v>5005000</c:v>
                </c:pt>
                <c:pt idx="1">
                  <c:v>4505000</c:v>
                </c:pt>
                <c:pt idx="2">
                  <c:v>9510000</c:v>
                </c:pt>
                <c:pt idx="3">
                  <c:v>3405000</c:v>
                </c:pt>
                <c:pt idx="4">
                  <c:v>3005000</c:v>
                </c:pt>
                <c:pt idx="5">
                  <c:v>6410000</c:v>
                </c:pt>
                <c:pt idx="6">
                  <c:v>2505000</c:v>
                </c:pt>
                <c:pt idx="7">
                  <c:v>2005000</c:v>
                </c:pt>
                <c:pt idx="8">
                  <c:v>4510000</c:v>
                </c:pt>
                <c:pt idx="9">
                  <c:v>2005000</c:v>
                </c:pt>
                <c:pt idx="10">
                  <c:v>2005000</c:v>
                </c:pt>
                <c:pt idx="11">
                  <c:v>4010000</c:v>
                </c:pt>
                <c:pt idx="12">
                  <c:v>1505000</c:v>
                </c:pt>
                <c:pt idx="13">
                  <c:v>1505000</c:v>
                </c:pt>
                <c:pt idx="14">
                  <c:v>3010000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AB6-449F-A760-76836FE25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326016"/>
        <c:axId val="182327552"/>
      </c:lineChart>
      <c:catAx>
        <c:axId val="18232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7552"/>
        <c:crosses val="autoZero"/>
        <c:auto val="1"/>
        <c:lblAlgn val="ctr"/>
        <c:lblOffset val="100"/>
        <c:noMultiLvlLbl val="0"/>
      </c:catAx>
      <c:valAx>
        <c:axId val="18232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Cost by Category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Summary_Dashboard!$B$2</c:f>
              <c:strCache>
                <c:ptCount val="1"/>
                <c:pt idx="0">
                  <c:v>Total Monthly Cost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Summary_Dashboard!$A$3:$A$5</c:f>
              <c:strCache>
                <c:ptCount val="3"/>
                <c:pt idx="0">
                  <c:v>Project</c:v>
                </c:pt>
                <c:pt idx="1">
                  <c:v>Salary</c:v>
                </c:pt>
                <c:pt idx="2">
                  <c:v>Service</c:v>
                </c:pt>
              </c:strCache>
            </c:strRef>
          </c:cat>
          <c:val>
            <c:numRef>
              <c:f>Summary_Dashboard!$B$3:$B$5</c:f>
              <c:numCache>
                <c:formatCode>General</c:formatCode>
                <c:ptCount val="3"/>
                <c:pt idx="0">
                  <c:v>28500000</c:v>
                </c:pt>
                <c:pt idx="1">
                  <c:v>22700000</c:v>
                </c:pt>
                <c:pt idx="2">
                  <c:v>920000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F2-4727-B0B1-910183B65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027200"/>
        <c:axId val="185037568"/>
      </c:barChart>
      <c:catAx>
        <c:axId val="1850272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85037568"/>
        <c:crosses val="autoZero"/>
        <c:auto val="1"/>
        <c:lblAlgn val="ctr"/>
        <c:lblOffset val="100"/>
        <c:noMultiLvlLbl val="1"/>
      </c:catAx>
      <c:valAx>
        <c:axId val="18503756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85027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Expense Distribution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Summary_Dashboard!$A$3:$A$5</c:f>
              <c:strCache>
                <c:ptCount val="3"/>
                <c:pt idx="0">
                  <c:v>Project</c:v>
                </c:pt>
                <c:pt idx="1">
                  <c:v>Salary</c:v>
                </c:pt>
                <c:pt idx="2">
                  <c:v>Service</c:v>
                </c:pt>
              </c:strCache>
            </c:strRef>
          </c:cat>
          <c:val>
            <c:numRef>
              <c:f>Summary_Dashboard!$B$3:$B$5</c:f>
              <c:numCache>
                <c:formatCode>General</c:formatCode>
                <c:ptCount val="3"/>
                <c:pt idx="0">
                  <c:v>28500000</c:v>
                </c:pt>
                <c:pt idx="1">
                  <c:v>22700000</c:v>
                </c:pt>
                <c:pt idx="2">
                  <c:v>920000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648-41D4-993F-4590905FD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165101</xdr:colOff>
      <xdr:row>16</xdr:row>
      <xdr:rowOff>92075</xdr:rowOff>
    </xdr:from>
    <xdr:to>
      <xdr:col>7</xdr:col>
      <xdr:colOff>120651</xdr:colOff>
      <xdr:row>31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26A5E96-73BA-44B6-9A3A-824B05DF7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174625</xdr:colOff>
      <xdr:row>16</xdr:row>
      <xdr:rowOff>92075</xdr:rowOff>
    </xdr:from>
    <xdr:to>
      <xdr:col>13</xdr:col>
      <xdr:colOff>314325</xdr:colOff>
      <xdr:row>31</xdr:row>
      <xdr:rowOff>73025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DF65E934-6797-4940-89DB-8CD3FAFEB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C17" sqref="C17"/>
    </sheetView>
  </sheetViews>
  <sheetFormatPr defaultRowHeight="14.5" x14ac:dyDescent="0.35"/>
  <cols>
    <col min="1" max="1" width="11.6328125" customWidth="1"/>
    <col min="2" max="2" width="18.08984375" customWidth="1"/>
    <col min="3" max="3" width="16.90625" customWidth="1"/>
    <col min="4" max="4" width="19.1796875" customWidth="1"/>
    <col min="5" max="5" width="12.36328125" customWidth="1"/>
    <col min="6" max="6" width="13.453125" customWidth="1"/>
    <col min="7" max="7" width="12" customWidth="1"/>
    <col min="8" max="8" width="24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5" t="s">
        <v>8</v>
      </c>
      <c r="B2" s="5" t="s">
        <v>9</v>
      </c>
      <c r="C2" s="5" t="s">
        <v>10</v>
      </c>
      <c r="D2" s="5">
        <v>10000000</v>
      </c>
      <c r="E2" s="5">
        <v>1</v>
      </c>
      <c r="F2" s="5">
        <f t="shared" ref="F2:F12" si="0">D2*E2</f>
        <v>10000000</v>
      </c>
      <c r="G2" s="5" t="s">
        <v>11</v>
      </c>
      <c r="H2" s="5" t="s">
        <v>12</v>
      </c>
    </row>
    <row r="3" spans="1:8" x14ac:dyDescent="0.35">
      <c r="A3" s="5" t="s">
        <v>8</v>
      </c>
      <c r="B3" s="5" t="s">
        <v>13</v>
      </c>
      <c r="C3" s="5" t="s">
        <v>10</v>
      </c>
      <c r="D3" s="6">
        <v>9500000</v>
      </c>
      <c r="E3" s="5">
        <v>1</v>
      </c>
      <c r="F3" s="5">
        <f t="shared" si="0"/>
        <v>9500000</v>
      </c>
      <c r="G3" s="5" t="s">
        <v>11</v>
      </c>
      <c r="H3" s="5" t="s">
        <v>12</v>
      </c>
    </row>
    <row r="4" spans="1:8" x14ac:dyDescent="0.35">
      <c r="A4" s="5" t="s">
        <v>8</v>
      </c>
      <c r="B4" s="5" t="s">
        <v>14</v>
      </c>
      <c r="C4" s="5" t="s">
        <v>10</v>
      </c>
      <c r="D4" s="6">
        <v>9000000</v>
      </c>
      <c r="E4" s="5">
        <v>1</v>
      </c>
      <c r="F4" s="5">
        <f t="shared" si="0"/>
        <v>9000000</v>
      </c>
      <c r="G4" s="5" t="s">
        <v>11</v>
      </c>
      <c r="H4" s="5" t="s">
        <v>15</v>
      </c>
    </row>
    <row r="5" spans="1:8" x14ac:dyDescent="0.35">
      <c r="A5" s="5" t="s">
        <v>16</v>
      </c>
      <c r="B5" s="5" t="s">
        <v>17</v>
      </c>
      <c r="C5" s="5" t="s">
        <v>80</v>
      </c>
      <c r="D5" s="6">
        <v>5000000</v>
      </c>
      <c r="E5" s="5">
        <v>1</v>
      </c>
      <c r="F5" s="5">
        <f t="shared" si="0"/>
        <v>5000000</v>
      </c>
      <c r="G5" s="5" t="s">
        <v>11</v>
      </c>
      <c r="H5" s="5" t="s">
        <v>15</v>
      </c>
    </row>
    <row r="6" spans="1:8" x14ac:dyDescent="0.35">
      <c r="A6" s="5" t="s">
        <v>16</v>
      </c>
      <c r="B6" s="5" t="s">
        <v>18</v>
      </c>
      <c r="C6" s="5" t="s">
        <v>87</v>
      </c>
      <c r="D6" s="6">
        <v>3400000</v>
      </c>
      <c r="E6" s="5">
        <v>2</v>
      </c>
      <c r="F6" s="5">
        <f t="shared" si="0"/>
        <v>6800000</v>
      </c>
      <c r="G6" s="5" t="s">
        <v>11</v>
      </c>
      <c r="H6" s="5" t="s">
        <v>15</v>
      </c>
    </row>
    <row r="7" spans="1:8" x14ac:dyDescent="0.35">
      <c r="A7" s="5" t="s">
        <v>16</v>
      </c>
      <c r="B7" s="5" t="s">
        <v>71</v>
      </c>
      <c r="C7" s="5" t="s">
        <v>87</v>
      </c>
      <c r="D7" s="6">
        <v>3400000</v>
      </c>
      <c r="E7" s="5">
        <v>1</v>
      </c>
      <c r="F7" s="5">
        <f t="shared" si="0"/>
        <v>3400000</v>
      </c>
      <c r="G7" s="5" t="s">
        <v>11</v>
      </c>
      <c r="H7" s="5" t="s">
        <v>15</v>
      </c>
    </row>
    <row r="8" spans="1:8" x14ac:dyDescent="0.35">
      <c r="A8" s="5" t="s">
        <v>16</v>
      </c>
      <c r="B8" s="5" t="s">
        <v>19</v>
      </c>
      <c r="C8" s="5" t="s">
        <v>20</v>
      </c>
      <c r="D8" s="8">
        <v>0</v>
      </c>
      <c r="E8" s="5">
        <v>1</v>
      </c>
      <c r="F8" s="5">
        <f t="shared" si="0"/>
        <v>0</v>
      </c>
      <c r="G8" s="5" t="s">
        <v>21</v>
      </c>
      <c r="H8" s="5" t="s">
        <v>15</v>
      </c>
    </row>
    <row r="9" spans="1:8" x14ac:dyDescent="0.35">
      <c r="A9" s="5" t="s">
        <v>22</v>
      </c>
      <c r="B9" s="5" t="s">
        <v>23</v>
      </c>
      <c r="C9" s="5" t="s">
        <v>10</v>
      </c>
      <c r="D9" s="5">
        <v>450000</v>
      </c>
      <c r="E9" s="5">
        <v>1</v>
      </c>
      <c r="F9" s="5">
        <f t="shared" si="0"/>
        <v>450000</v>
      </c>
      <c r="G9" s="5" t="s">
        <v>11</v>
      </c>
      <c r="H9" s="5" t="s">
        <v>12</v>
      </c>
    </row>
    <row r="10" spans="1:8" x14ac:dyDescent="0.35">
      <c r="A10" s="5" t="s">
        <v>22</v>
      </c>
      <c r="B10" s="5" t="s">
        <v>24</v>
      </c>
      <c r="C10" s="5" t="s">
        <v>10</v>
      </c>
      <c r="D10" s="5">
        <v>120000</v>
      </c>
      <c r="E10" s="5">
        <v>1</v>
      </c>
      <c r="F10" s="5">
        <f t="shared" si="0"/>
        <v>120000</v>
      </c>
      <c r="G10" s="5" t="s">
        <v>11</v>
      </c>
      <c r="H10" s="5" t="s">
        <v>12</v>
      </c>
    </row>
    <row r="11" spans="1:8" x14ac:dyDescent="0.35">
      <c r="A11" s="5" t="s">
        <v>22</v>
      </c>
      <c r="B11" s="5" t="s">
        <v>25</v>
      </c>
      <c r="C11" s="5" t="s">
        <v>20</v>
      </c>
      <c r="D11" s="5">
        <v>350000</v>
      </c>
      <c r="E11" s="5">
        <v>1</v>
      </c>
      <c r="F11" s="5">
        <f t="shared" si="0"/>
        <v>350000</v>
      </c>
      <c r="G11" s="5" t="s">
        <v>21</v>
      </c>
      <c r="H11" s="5" t="s">
        <v>12</v>
      </c>
    </row>
    <row r="12" spans="1:8" x14ac:dyDescent="0.35">
      <c r="A12" s="5" t="s">
        <v>16</v>
      </c>
      <c r="B12" s="5" t="s">
        <v>88</v>
      </c>
      <c r="C12" s="5" t="s">
        <v>87</v>
      </c>
      <c r="D12" s="6">
        <v>2000000</v>
      </c>
      <c r="E12" s="5">
        <v>1</v>
      </c>
      <c r="F12" s="5">
        <f t="shared" si="0"/>
        <v>2000000</v>
      </c>
      <c r="G12" s="5" t="s">
        <v>11</v>
      </c>
      <c r="H12" s="5" t="s">
        <v>12</v>
      </c>
    </row>
    <row r="13" spans="1:8" x14ac:dyDescent="0.35">
      <c r="A13" s="5" t="s">
        <v>16</v>
      </c>
      <c r="B13" s="5" t="s">
        <v>89</v>
      </c>
      <c r="C13" s="5" t="s">
        <v>81</v>
      </c>
      <c r="D13" s="6">
        <v>2500000</v>
      </c>
      <c r="E13" s="5">
        <v>1</v>
      </c>
      <c r="F13" s="5">
        <v>2500000</v>
      </c>
      <c r="G13" s="5" t="s">
        <v>11</v>
      </c>
      <c r="H13" s="5" t="s">
        <v>12</v>
      </c>
    </row>
    <row r="14" spans="1:8" x14ac:dyDescent="0.35">
      <c r="A14" s="5" t="s">
        <v>16</v>
      </c>
      <c r="B14" s="5" t="s">
        <v>90</v>
      </c>
      <c r="C14" s="5" t="s">
        <v>92</v>
      </c>
      <c r="D14" s="6">
        <v>1000000</v>
      </c>
      <c r="E14" s="5">
        <v>1</v>
      </c>
      <c r="F14" s="5">
        <v>1000000</v>
      </c>
      <c r="G14" s="5" t="s">
        <v>11</v>
      </c>
      <c r="H14" s="5" t="s">
        <v>12</v>
      </c>
    </row>
    <row r="15" spans="1:8" x14ac:dyDescent="0.35">
      <c r="A15" s="5" t="s">
        <v>16</v>
      </c>
      <c r="B15" s="5" t="s">
        <v>91</v>
      </c>
      <c r="C15" s="5" t="s">
        <v>93</v>
      </c>
      <c r="D15" s="6">
        <v>2000000</v>
      </c>
      <c r="E15" s="5">
        <v>1</v>
      </c>
      <c r="F15" s="5">
        <v>2000000</v>
      </c>
      <c r="G15" s="5" t="s">
        <v>11</v>
      </c>
      <c r="H15" s="5" t="s">
        <v>12</v>
      </c>
    </row>
  </sheetData>
  <dataValidations count="2">
    <dataValidation type="list" sqref="G2:G50">
      <formula1>"Active,Inactive"</formula1>
    </dataValidation>
    <dataValidation type="list" sqref="H2:H50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zoomScale="74" zoomScaleNormal="74" workbookViewId="0">
      <selection activeCell="F9" sqref="F9"/>
    </sheetView>
  </sheetViews>
  <sheetFormatPr defaultRowHeight="14.5" x14ac:dyDescent="0.35"/>
  <cols>
    <col min="2" max="2" width="15.26953125" customWidth="1"/>
    <col min="3" max="3" width="17.36328125" customWidth="1"/>
    <col min="4" max="4" width="15.36328125" customWidth="1"/>
    <col min="5" max="5" width="14.36328125" customWidth="1"/>
    <col min="6" max="6" width="16.90625" customWidth="1"/>
    <col min="7" max="7" width="14.6328125" customWidth="1"/>
    <col min="8" max="8" width="14.81640625" customWidth="1"/>
    <col min="9" max="9" width="13.7265625" customWidth="1"/>
  </cols>
  <sheetData>
    <row r="1" spans="1:9" x14ac:dyDescent="0.35">
      <c r="A1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6</v>
      </c>
    </row>
    <row r="2" spans="1:9" x14ac:dyDescent="0.35">
      <c r="A2" t="s">
        <v>16</v>
      </c>
      <c r="B2" s="5" t="s">
        <v>40</v>
      </c>
      <c r="C2" s="5" t="s">
        <v>55</v>
      </c>
      <c r="D2" s="5" t="s">
        <v>17</v>
      </c>
      <c r="E2" s="5" t="s">
        <v>80</v>
      </c>
      <c r="F2" s="6">
        <v>5000000</v>
      </c>
      <c r="G2" s="5">
        <v>5000</v>
      </c>
      <c r="H2" s="6">
        <f>SUM(F2:G2)</f>
        <v>5005000</v>
      </c>
      <c r="I2" s="5" t="s">
        <v>11</v>
      </c>
    </row>
    <row r="3" spans="1:9" x14ac:dyDescent="0.35">
      <c r="A3" t="s">
        <v>16</v>
      </c>
      <c r="B3" s="5" t="s">
        <v>41</v>
      </c>
      <c r="C3" s="5" t="s">
        <v>56</v>
      </c>
      <c r="D3" s="5" t="s">
        <v>70</v>
      </c>
      <c r="E3" s="5" t="s">
        <v>81</v>
      </c>
      <c r="F3" s="6">
        <v>4500000</v>
      </c>
      <c r="G3" s="5">
        <v>5000</v>
      </c>
      <c r="H3" s="6">
        <f>SUM(F3:G3)</f>
        <v>4505000</v>
      </c>
      <c r="I3" s="5" t="s">
        <v>11</v>
      </c>
    </row>
    <row r="4" spans="1:9" x14ac:dyDescent="0.35">
      <c r="A4" t="s">
        <v>16</v>
      </c>
      <c r="B4" s="5" t="s">
        <v>42</v>
      </c>
      <c r="C4" s="5" t="s">
        <v>57</v>
      </c>
      <c r="D4" s="5" t="s">
        <v>18</v>
      </c>
      <c r="E4" s="5" t="s">
        <v>82</v>
      </c>
      <c r="F4" s="6">
        <v>3400000</v>
      </c>
      <c r="G4" s="5">
        <v>5000</v>
      </c>
      <c r="H4" s="6">
        <f>SUM(H2:H3)</f>
        <v>9510000</v>
      </c>
      <c r="I4" s="5" t="s">
        <v>11</v>
      </c>
    </row>
    <row r="5" spans="1:9" x14ac:dyDescent="0.35">
      <c r="A5" t="s">
        <v>16</v>
      </c>
      <c r="B5" s="5" t="s">
        <v>43</v>
      </c>
      <c r="C5" s="5" t="s">
        <v>58</v>
      </c>
      <c r="D5" s="5" t="s">
        <v>71</v>
      </c>
      <c r="E5" s="5" t="s">
        <v>82</v>
      </c>
      <c r="F5" s="6">
        <v>3400000</v>
      </c>
      <c r="G5" s="5">
        <v>5000</v>
      </c>
      <c r="H5" s="6">
        <f>SUM(F5:G5)</f>
        <v>3405000</v>
      </c>
      <c r="I5" s="5" t="s">
        <v>11</v>
      </c>
    </row>
    <row r="6" spans="1:9" x14ac:dyDescent="0.35">
      <c r="A6" t="s">
        <v>16</v>
      </c>
      <c r="B6" s="5" t="s">
        <v>44</v>
      </c>
      <c r="C6" s="5" t="s">
        <v>59</v>
      </c>
      <c r="D6" s="5" t="s">
        <v>72</v>
      </c>
      <c r="E6" s="5" t="s">
        <v>82</v>
      </c>
      <c r="F6" s="6">
        <v>3000000</v>
      </c>
      <c r="G6" s="5">
        <v>5000</v>
      </c>
      <c r="H6" s="6">
        <f>SUM(F6:G6)</f>
        <v>3005000</v>
      </c>
      <c r="I6" s="5" t="s">
        <v>11</v>
      </c>
    </row>
    <row r="7" spans="1:9" x14ac:dyDescent="0.35">
      <c r="A7" t="s">
        <v>16</v>
      </c>
      <c r="B7" s="5" t="s">
        <v>45</v>
      </c>
      <c r="C7" s="5" t="s">
        <v>61</v>
      </c>
      <c r="D7" s="5" t="s">
        <v>73</v>
      </c>
      <c r="E7" s="5" t="s">
        <v>83</v>
      </c>
      <c r="F7" s="6">
        <v>2500000</v>
      </c>
      <c r="G7" s="5">
        <v>5000</v>
      </c>
      <c r="H7" s="6">
        <f>SUM(H5:H6)</f>
        <v>6410000</v>
      </c>
      <c r="I7" s="5" t="s">
        <v>11</v>
      </c>
    </row>
    <row r="8" spans="1:9" x14ac:dyDescent="0.35">
      <c r="A8" t="s">
        <v>16</v>
      </c>
      <c r="B8" s="5" t="s">
        <v>46</v>
      </c>
      <c r="C8" s="5" t="s">
        <v>60</v>
      </c>
      <c r="D8" s="5" t="s">
        <v>74</v>
      </c>
      <c r="E8" s="5" t="s">
        <v>81</v>
      </c>
      <c r="F8" s="6">
        <v>2500000</v>
      </c>
      <c r="G8" s="5">
        <v>5000</v>
      </c>
      <c r="H8" s="6">
        <f>SUM(F8:G8)</f>
        <v>2505000</v>
      </c>
      <c r="I8" s="5" t="s">
        <v>11</v>
      </c>
    </row>
    <row r="9" spans="1:9" x14ac:dyDescent="0.35">
      <c r="A9" t="s">
        <v>16</v>
      </c>
      <c r="B9" s="5" t="s">
        <v>47</v>
      </c>
      <c r="C9" s="5" t="s">
        <v>62</v>
      </c>
      <c r="D9" s="5" t="s">
        <v>75</v>
      </c>
      <c r="E9" s="5" t="s">
        <v>84</v>
      </c>
      <c r="F9" s="6">
        <v>2000000</v>
      </c>
      <c r="G9" s="5">
        <v>5000</v>
      </c>
      <c r="H9" s="6">
        <f>SUM(F9:G9)</f>
        <v>2005000</v>
      </c>
      <c r="I9" s="5" t="s">
        <v>11</v>
      </c>
    </row>
    <row r="10" spans="1:9" x14ac:dyDescent="0.35">
      <c r="A10" t="s">
        <v>16</v>
      </c>
      <c r="B10" s="5" t="s">
        <v>48</v>
      </c>
      <c r="C10" s="5" t="s">
        <v>63</v>
      </c>
      <c r="D10" s="5" t="s">
        <v>72</v>
      </c>
      <c r="E10" s="5" t="s">
        <v>82</v>
      </c>
      <c r="F10" s="6">
        <v>2000000</v>
      </c>
      <c r="G10" s="5">
        <v>5000</v>
      </c>
      <c r="H10" s="6">
        <f>SUM(H8:H9)</f>
        <v>4510000</v>
      </c>
      <c r="I10" s="5" t="s">
        <v>11</v>
      </c>
    </row>
    <row r="11" spans="1:9" x14ac:dyDescent="0.35">
      <c r="A11" t="s">
        <v>16</v>
      </c>
      <c r="B11" s="5" t="s">
        <v>49</v>
      </c>
      <c r="C11" s="5" t="s">
        <v>64</v>
      </c>
      <c r="D11" s="5" t="s">
        <v>72</v>
      </c>
      <c r="E11" s="5" t="s">
        <v>82</v>
      </c>
      <c r="F11" s="6">
        <v>2000000</v>
      </c>
      <c r="G11" s="5">
        <v>5000</v>
      </c>
      <c r="H11" s="6">
        <f>SUM(F11:G11)</f>
        <v>2005000</v>
      </c>
      <c r="I11" s="5" t="s">
        <v>11</v>
      </c>
    </row>
    <row r="12" spans="1:9" x14ac:dyDescent="0.35">
      <c r="A12" t="s">
        <v>16</v>
      </c>
      <c r="B12" s="5" t="s">
        <v>50</v>
      </c>
      <c r="C12" s="5" t="s">
        <v>65</v>
      </c>
      <c r="D12" s="5" t="s">
        <v>76</v>
      </c>
      <c r="E12" s="5" t="s">
        <v>82</v>
      </c>
      <c r="F12" s="6">
        <v>2000000</v>
      </c>
      <c r="G12" s="5">
        <v>5000</v>
      </c>
      <c r="H12" s="6">
        <f>SUM(F12:G12)</f>
        <v>2005000</v>
      </c>
      <c r="I12" s="5" t="s">
        <v>11</v>
      </c>
    </row>
    <row r="13" spans="1:9" x14ac:dyDescent="0.35">
      <c r="A13" t="s">
        <v>16</v>
      </c>
      <c r="B13" s="5" t="s">
        <v>51</v>
      </c>
      <c r="C13" s="5" t="s">
        <v>66</v>
      </c>
      <c r="D13" s="5" t="s">
        <v>76</v>
      </c>
      <c r="E13" s="5" t="s">
        <v>82</v>
      </c>
      <c r="F13" s="6">
        <v>2000000</v>
      </c>
      <c r="G13" s="5">
        <v>5000</v>
      </c>
      <c r="H13" s="6">
        <f>SUM(H11:H12)</f>
        <v>4010000</v>
      </c>
      <c r="I13" s="5" t="s">
        <v>11</v>
      </c>
    </row>
    <row r="14" spans="1:9" x14ac:dyDescent="0.35">
      <c r="A14" t="s">
        <v>16</v>
      </c>
      <c r="B14" s="5" t="s">
        <v>52</v>
      </c>
      <c r="C14" s="5" t="s">
        <v>67</v>
      </c>
      <c r="D14" s="5" t="s">
        <v>77</v>
      </c>
      <c r="E14" s="5" t="s">
        <v>77</v>
      </c>
      <c r="F14" s="6">
        <v>1500000</v>
      </c>
      <c r="G14" s="5">
        <v>5000</v>
      </c>
      <c r="H14" s="6">
        <f>SUM(F14:G14)</f>
        <v>1505000</v>
      </c>
      <c r="I14" s="5" t="s">
        <v>11</v>
      </c>
    </row>
    <row r="15" spans="1:9" x14ac:dyDescent="0.35">
      <c r="A15" t="s">
        <v>16</v>
      </c>
      <c r="B15" s="5" t="s">
        <v>53</v>
      </c>
      <c r="C15" s="5" t="s">
        <v>68</v>
      </c>
      <c r="D15" s="5" t="s">
        <v>78</v>
      </c>
      <c r="E15" s="5" t="s">
        <v>85</v>
      </c>
      <c r="F15" s="6">
        <v>1500000</v>
      </c>
      <c r="G15" s="5">
        <v>5000</v>
      </c>
      <c r="H15" s="6">
        <f>SUM(F15:G15)</f>
        <v>1505000</v>
      </c>
      <c r="I15" s="5" t="s">
        <v>11</v>
      </c>
    </row>
    <row r="16" spans="1:9" x14ac:dyDescent="0.35">
      <c r="A16" t="s">
        <v>16</v>
      </c>
      <c r="B16" s="5" t="s">
        <v>54</v>
      </c>
      <c r="C16" s="5" t="s">
        <v>69</v>
      </c>
      <c r="D16" s="5" t="s">
        <v>79</v>
      </c>
      <c r="E16" s="5" t="s">
        <v>86</v>
      </c>
      <c r="F16" s="6">
        <v>1000000</v>
      </c>
      <c r="G16" s="5">
        <v>5000</v>
      </c>
      <c r="H16" s="6">
        <f>SUM(H14:H15)</f>
        <v>3010000</v>
      </c>
      <c r="I16" s="5" t="s">
        <v>11</v>
      </c>
    </row>
    <row r="17" spans="1:7" x14ac:dyDescent="0.35">
      <c r="A17" t="s">
        <v>16</v>
      </c>
    </row>
    <row r="18" spans="1:7" x14ac:dyDescent="0.35">
      <c r="A18" t="s">
        <v>16</v>
      </c>
    </row>
    <row r="19" spans="1:7" x14ac:dyDescent="0.35">
      <c r="A19" t="s">
        <v>16</v>
      </c>
      <c r="G19" s="7"/>
    </row>
    <row r="20" spans="1:7" x14ac:dyDescent="0.35">
      <c r="A20" t="s">
        <v>16</v>
      </c>
    </row>
    <row r="21" spans="1:7" x14ac:dyDescent="0.35">
      <c r="A21" t="s">
        <v>16</v>
      </c>
    </row>
    <row r="22" spans="1:7" x14ac:dyDescent="0.35">
      <c r="A22" t="s">
        <v>16</v>
      </c>
    </row>
    <row r="23" spans="1:7" x14ac:dyDescent="0.35">
      <c r="A23" t="s">
        <v>16</v>
      </c>
    </row>
    <row r="24" spans="1:7" x14ac:dyDescent="0.35">
      <c r="A24" t="s">
        <v>16</v>
      </c>
    </row>
    <row r="25" spans="1:7" x14ac:dyDescent="0.35">
      <c r="A25" t="s">
        <v>16</v>
      </c>
    </row>
    <row r="26" spans="1:7" x14ac:dyDescent="0.35">
      <c r="A26" t="s">
        <v>16</v>
      </c>
    </row>
    <row r="27" spans="1:7" x14ac:dyDescent="0.35">
      <c r="A27" t="s">
        <v>16</v>
      </c>
    </row>
    <row r="28" spans="1:7" x14ac:dyDescent="0.35">
      <c r="A28" t="s">
        <v>16</v>
      </c>
    </row>
    <row r="29" spans="1:7" x14ac:dyDescent="0.35">
      <c r="A29" t="s">
        <v>16</v>
      </c>
    </row>
    <row r="30" spans="1:7" x14ac:dyDescent="0.35">
      <c r="A30" t="s">
        <v>16</v>
      </c>
    </row>
    <row r="31" spans="1:7" x14ac:dyDescent="0.35">
      <c r="A31" t="s">
        <v>16</v>
      </c>
    </row>
    <row r="32" spans="1:7" x14ac:dyDescent="0.35">
      <c r="A32" t="s">
        <v>16</v>
      </c>
    </row>
    <row r="33" spans="1:1" x14ac:dyDescent="0.35">
      <c r="A33" t="s">
        <v>16</v>
      </c>
    </row>
    <row r="34" spans="1:1" x14ac:dyDescent="0.35">
      <c r="A34" t="s">
        <v>16</v>
      </c>
    </row>
    <row r="35" spans="1:1" x14ac:dyDescent="0.35">
      <c r="A35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4.5" x14ac:dyDescent="0.35"/>
  <cols>
    <col min="1" max="1" width="11.7265625" customWidth="1"/>
    <col min="2" max="2" width="17.90625" customWidth="1"/>
    <col min="3" max="3" width="16.7265625" customWidth="1"/>
    <col min="4" max="4" width="15.08984375" customWidth="1"/>
    <col min="5" max="5" width="14.26953125" customWidth="1"/>
  </cols>
  <sheetData>
    <row r="1" spans="1:5" x14ac:dyDescent="0.35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35">
      <c r="A2" t="s">
        <v>8</v>
      </c>
      <c r="B2">
        <f>SUMIF(Raw_Data!A:A,"Project",Raw_Data!F:F)</f>
        <v>28500000</v>
      </c>
      <c r="C2">
        <f>AVERAGEIF(Raw_Data!A:A,"Project",Raw_Data!D:D)</f>
        <v>9500000</v>
      </c>
      <c r="D2">
        <f>COUNTIFS(Raw_Data!A:A,"Project",Raw_Data!G:G,"Active")</f>
        <v>3</v>
      </c>
      <c r="E2">
        <f>COUNTIFS(Raw_Data!A:A,"Project",Raw_Data!G:G,"Inactive")</f>
        <v>0</v>
      </c>
    </row>
    <row r="3" spans="1:5" x14ac:dyDescent="0.35">
      <c r="A3" t="s">
        <v>16</v>
      </c>
      <c r="B3">
        <f>SUMIF(Raw_Data!A:A,"Salary",Raw_Data!F:F)</f>
        <v>22700000</v>
      </c>
      <c r="C3">
        <f>AVERAGEIF(Raw_Data!A:A,"Salary",Raw_Data!D:D)</f>
        <v>2412500</v>
      </c>
      <c r="D3">
        <f>COUNTIFS(Raw_Data!A:A,"Salary",Raw_Data!G:G,"Active")</f>
        <v>7</v>
      </c>
      <c r="E3">
        <f>COUNTIFS(Raw_Data!A:A,"Salary",Raw_Data!G:G,"Inactive")</f>
        <v>1</v>
      </c>
    </row>
    <row r="4" spans="1:5" x14ac:dyDescent="0.35">
      <c r="A4" t="s">
        <v>22</v>
      </c>
      <c r="B4">
        <f>SUMIF(Raw_Data!A:A,"Service",Raw_Data!F:F)</f>
        <v>920000</v>
      </c>
      <c r="C4">
        <f>AVERAGEIF(Raw_Data!A:A,"Service",Raw_Data!D:D)</f>
        <v>306666.66666666669</v>
      </c>
      <c r="D4">
        <f>COUNTIFS(Raw_Data!A:A,"Service",Raw_Data!G:G,"Active")</f>
        <v>2</v>
      </c>
      <c r="E4">
        <f>COUNTIFS(Raw_Data!A:A,"Service",Raw_Data!G:G,"Inactive")</f>
        <v>1</v>
      </c>
    </row>
    <row r="6" spans="1:5" x14ac:dyDescent="0.35">
      <c r="A6" s="2" t="s">
        <v>30</v>
      </c>
      <c r="B6" s="2">
        <f>SUM(B2:B4)</f>
        <v>52120000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zoomScale="72" zoomScaleNormal="72" workbookViewId="0">
      <selection activeCell="B8" sqref="B8"/>
    </sheetView>
  </sheetViews>
  <sheetFormatPr defaultRowHeight="14.5" x14ac:dyDescent="0.35"/>
  <cols>
    <col min="1" max="1" width="10.81640625" customWidth="1"/>
    <col min="2" max="2" width="25.54296875" customWidth="1"/>
  </cols>
  <sheetData>
    <row r="1" spans="1:2" ht="18.5" x14ac:dyDescent="0.45">
      <c r="A1" s="3" t="s">
        <v>31</v>
      </c>
    </row>
    <row r="2" spans="1:2" x14ac:dyDescent="0.35">
      <c r="A2" s="1" t="s">
        <v>0</v>
      </c>
      <c r="B2" s="1" t="s">
        <v>26</v>
      </c>
    </row>
    <row r="3" spans="1:2" x14ac:dyDescent="0.35">
      <c r="A3" t="s">
        <v>8</v>
      </c>
      <c r="B3">
        <f>Calculations!B2</f>
        <v>28500000</v>
      </c>
    </row>
    <row r="4" spans="1:2" x14ac:dyDescent="0.35">
      <c r="A4" t="s">
        <v>16</v>
      </c>
      <c r="B4">
        <f>Calculations!B3</f>
        <v>22700000</v>
      </c>
    </row>
    <row r="5" spans="1:2" x14ac:dyDescent="0.35">
      <c r="A5" t="s">
        <v>22</v>
      </c>
      <c r="B5">
        <f>Calculations!B4</f>
        <v>920000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Employee </vt:lpstr>
      <vt:lpstr>Calculations</vt:lpstr>
      <vt:lpstr>Summary_Dashboard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Fast Computers</cp:lastModifiedBy>
  <dcterms:created xsi:type="dcterms:W3CDTF">2026-01-04T06:03:46Z</dcterms:created>
  <dcterms:modified xsi:type="dcterms:W3CDTF">2026-01-04T10:02:40Z</dcterms:modified>
</cp:coreProperties>
</file>